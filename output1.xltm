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/>
  <xr:revisionPtr revIDLastSave="0" documentId="8_{FE55CCA8-0520-4794-8F7D-4A36ECCC61DA}" xr6:coauthVersionLast="31" xr6:coauthVersionMax="31" xr10:uidLastSave="{00000000-0000-0000-0000-000000000000}"/>
  <bookViews>
    <workbookView xWindow="0" yWindow="0" windowWidth="21600" windowHeight="9780" xr2:uid="{00000000-000D-0000-FFFF-FFFF00000000}"/>
  </bookViews>
  <sheets>
    <sheet name="Summary" sheetId="4" r:id="rId1"/>
    <sheet name="Assets" sheetId="1" r:id="rId2"/>
    <sheet name="Liabilities and Owner's Equity" sheetId="2" r:id="rId3"/>
  </sheets>
  <definedNames>
    <definedName name="Current_Year">Summary!$D$2</definedName>
    <definedName name="Preceding_Year">Summary!$C$2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2" l="1"/>
  <c r="D19" i="2"/>
  <c r="C14" i="2"/>
  <c r="D14" i="2"/>
  <c r="C10" i="2"/>
  <c r="D10" i="2"/>
  <c r="C21" i="1"/>
  <c r="D21" i="1"/>
  <c r="C17" i="1"/>
  <c r="D17" i="1"/>
  <c r="C10" i="1"/>
  <c r="D10" i="1"/>
  <c r="D2" i="1" l="1"/>
  <c r="C2" i="1"/>
  <c r="D2" i="2"/>
  <c r="C2" i="2"/>
</calcChain>
</file>

<file path=xl/sharedStrings.xml><?xml version="1.0" encoding="utf-8"?>
<sst xmlns="http://schemas.openxmlformats.org/spreadsheetml/2006/main" count="47" uniqueCount="35">
  <si>
    <t xml:space="preserve"> </t>
  </si>
  <si>
    <t>Current Assets</t>
  </si>
  <si>
    <t>Cash</t>
  </si>
  <si>
    <t>Investments</t>
  </si>
  <si>
    <t>Inventories</t>
  </si>
  <si>
    <t>Accounts receivable</t>
  </si>
  <si>
    <t>Pre-paid expenses</t>
  </si>
  <si>
    <t>Other</t>
  </si>
  <si>
    <t>Total Current Assets</t>
  </si>
  <si>
    <t>Fixed Assets</t>
  </si>
  <si>
    <t>Property and equipment</t>
  </si>
  <si>
    <t>Leasehold improvements</t>
  </si>
  <si>
    <t>Equity and other investments</t>
  </si>
  <si>
    <t>Less accumulated depreciation</t>
  </si>
  <si>
    <t>Total Fixed Assets</t>
  </si>
  <si>
    <t>Other Assets</t>
  </si>
  <si>
    <t>Goodwill</t>
  </si>
  <si>
    <t>Total Other Assets</t>
  </si>
  <si>
    <t>Current Liabilities</t>
  </si>
  <si>
    <t>Accounts payable</t>
  </si>
  <si>
    <t>Accrued wages</t>
  </si>
  <si>
    <t>Accrued compensation</t>
  </si>
  <si>
    <t>Income taxes payable</t>
  </si>
  <si>
    <t>Unearned revenue</t>
  </si>
  <si>
    <t>Total Current Liabilities</t>
  </si>
  <si>
    <t>Long-Term Liabilities</t>
  </si>
  <si>
    <t>Mortgage payable</t>
  </si>
  <si>
    <t>Total Long-Term Liabilities</t>
  </si>
  <si>
    <t>Owner's Equity</t>
  </si>
  <si>
    <t>Investment capital</t>
  </si>
  <si>
    <t>Accumulated retained earnings</t>
  </si>
  <si>
    <t>Total Owner's Equity</t>
  </si>
  <si>
    <t>Year 1</t>
  </si>
  <si>
    <t>Year 2</t>
  </si>
  <si>
    <t>jsjsjs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</si>
</sst>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8" x14ac:knownFonts="1">
    <font>
      <sz val="11"/>
      <color theme="1"/>
      <name val="Franklin Gothic Book"/>
      <family val="2"/>
      <scheme val="minor"/>
    </font>
    <font>
      <sz val="11"/>
      <color theme="3"/>
      <name val="Franklin Gothic Book"/>
      <family val="2"/>
      <scheme val="minor"/>
    </font>
    <font>
      <sz val="11"/>
      <name val="Franklin Gothic Book"/>
      <family val="2"/>
      <scheme val="minor"/>
    </font>
    <font>
      <sz val="12"/>
      <color theme="5"/>
      <name val="Franklin Gothic Book"/>
      <family val="2"/>
      <scheme val="minor"/>
    </font>
    <font>
      <b/>
      <sz val="12"/>
      <color theme="1"/>
      <name val="Franklin Gothic Book"/>
      <family val="2"/>
      <scheme val="minor"/>
    </font>
    <font>
      <sz val="20"/>
      <color theme="0"/>
      <name val="Constantia"/>
      <family val="2"/>
      <scheme val="major"/>
    </font>
    <font>
      <sz val="11"/>
      <color theme="0"/>
      <name val="Franklin Gothic Book"/>
      <family val="2"/>
      <scheme val="minor"/>
    </font>
    <font>
      <sz val="20"/>
      <color theme="3"/>
      <name val="Constantia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3"/>
      </left>
      <right/>
      <top/>
      <bottom/>
      <diagonal/>
    </border>
    <border>
      <left/>
      <right/>
      <top/>
      <bottom style="thin">
        <color theme="5" tint="0.79998168889431442"/>
      </bottom>
      <diagonal/>
    </border>
    <border>
      <left/>
      <right/>
      <top style="thin">
        <color theme="6" tint="0.79995117038483843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Font="1" applyAlignment="1">
      <alignment vertical="center"/>
    </xf>
    <xf numFmtId="0" fontId="1" fillId="0" borderId="3" xfId="0" applyFont="1" applyBorder="1" applyAlignment="1">
      <alignment horizontal="right" vertical="center" indent="1"/>
    </xf>
    <xf numFmtId="0" fontId="1" fillId="0" borderId="4" xfId="0" applyFont="1" applyBorder="1" applyAlignment="1">
      <alignment horizontal="right" vertical="center" indent="1"/>
    </xf>
    <xf numFmtId="0" fontId="0" fillId="0" borderId="0" xfId="0" applyFont="1" applyAlignment="1">
      <alignment horizontal="left" vertical="center" indent="1"/>
    </xf>
    <xf numFmtId="164" fontId="0" fillId="0" borderId="0" xfId="0" applyNumberFormat="1" applyFont="1" applyAlignment="1">
      <alignment horizontal="right" vertical="center" indent="1"/>
    </xf>
    <xf numFmtId="0" fontId="2" fillId="2" borderId="0" xfId="0" applyFont="1" applyFill="1" applyAlignment="1">
      <alignment horizontal="left" vertical="center" indent="1"/>
    </xf>
    <xf numFmtId="164" fontId="2" fillId="2" borderId="0" xfId="0" applyNumberFormat="1" applyFont="1" applyFill="1" applyAlignment="1">
      <alignment horizontal="right" vertical="center" indent="1"/>
    </xf>
    <xf numFmtId="0" fontId="0" fillId="2" borderId="0" xfId="0" applyFont="1" applyFill="1" applyAlignment="1">
      <alignment horizontal="left" vertical="center" indent="1"/>
    </xf>
    <xf numFmtId="164" fontId="0" fillId="2" borderId="0" xfId="0" applyNumberFormat="1" applyFont="1" applyFill="1" applyAlignment="1">
      <alignment horizontal="right" vertical="center" indent="1"/>
    </xf>
    <xf numFmtId="0" fontId="3" fillId="0" borderId="0" xfId="0" applyFont="1" applyBorder="1" applyAlignment="1">
      <alignment horizontal="right" vertical="center" indent="1"/>
    </xf>
    <xf numFmtId="0" fontId="3" fillId="0" borderId="6" xfId="0" applyFont="1" applyBorder="1" applyAlignment="1">
      <alignment horizontal="right" vertical="center" indent="1"/>
    </xf>
    <xf numFmtId="0" fontId="4" fillId="0" borderId="2" xfId="0" applyFont="1" applyBorder="1" applyAlignment="1">
      <alignment horizontal="left" vertical="center" indent="1"/>
    </xf>
    <xf numFmtId="0" fontId="7" fillId="0" borderId="1" xfId="0" applyFont="1" applyFill="1" applyBorder="1" applyAlignment="1"/>
    <xf numFmtId="0" fontId="1" fillId="0" borderId="0" xfId="0" applyFont="1" applyFill="1" applyAlignment="1">
      <alignment vertical="center"/>
    </xf>
    <xf numFmtId="0" fontId="5" fillId="0" borderId="5" xfId="0" applyFont="1" applyFill="1" applyBorder="1" applyAlignment="1"/>
    <xf numFmtId="0" fontId="6" fillId="0" borderId="5" xfId="0" applyFont="1" applyFill="1" applyBorder="1" applyAlignment="1">
      <alignment vertical="center"/>
    </xf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4" formatCode="&quot;$&quot;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Franklin Gothic Book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4" formatCode="&quot;$&quot;#,##0.00"/>
      <fill>
        <patternFill patternType="solid">
          <fgColor indexed="64"/>
          <bgColor theme="3" tint="0.79998168889431442"/>
        </patternFill>
      </fill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Franklin Gothic Book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Franklin Gothic Book"/>
      </font>
    </dxf>
    <dxf>
      <font>
        <strike val="0"/>
        <outline val="0"/>
        <shadow val="0"/>
        <u val="none"/>
        <vertAlign val="baseline"/>
        <sz val="11"/>
        <color auto="1"/>
        <name val="Franklin Gothic Book"/>
        <scheme val="minor"/>
      </font>
      <fill>
        <patternFill patternType="solid">
          <fgColor indexed="64"/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1"/>
        <name val="Franklin Gothic Book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Franklin Gothic Book"/>
      </font>
      <alignment vertical="center" textRotation="0" indent="0" justifyLastLine="0" shrinkToFit="0" readingOrder="0"/>
    </dxf>
    <dxf>
      <fill>
        <patternFill>
          <bgColor theme="0" tint="-4.9989318521683403E-2"/>
        </patternFill>
      </fill>
    </dxf>
    <dxf>
      <font>
        <b val="0"/>
        <i val="0"/>
        <strike val="0"/>
        <color theme="0"/>
      </font>
      <fill>
        <patternFill>
          <bgColor theme="3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 style="thin">
          <color theme="6" tint="0.59996337778862885"/>
        </vertical>
        <horizontal style="thin">
          <color theme="6" tint="0.59996337778862885"/>
        </horizontal>
      </border>
    </dxf>
  </dxfs>
  <tableStyles count="1" defaultTableStyle="TableStyleMedium2" defaultPivotStyle="PivotStyleLight16">
    <tableStyle name="Business Table" pivot="0" count="3" xr9:uid="{00000000-0011-0000-FFFF-FFFF00000000}">
      <tableStyleElement type="wholeTable" dxfId="45"/>
      <tableStyleElement type="headerRow" dxfId="44"/>
      <tableStyleElement type="secondRowStripe" dxfId="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" name="Picture 1" descr="Abstract Image" title="Banner 1">
          <a:extLst>
            <a:ext uri="{FF2B5EF4-FFF2-40B4-BE49-F238E27FC236}">
              <a16:creationId xmlns:a16="http://schemas.microsoft.com/office/drawing/2014/main" id="{DB30E036-49BD-4193-A5FF-4E03205610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400" y="0"/>
          <a:ext cx="6294120" cy="5715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1</xdr:rowOff>
    </xdr:from>
    <xdr:to>
      <xdr:col>3</xdr:col>
      <xdr:colOff>847725</xdr:colOff>
      <xdr:row>0</xdr:row>
      <xdr:rowOff>563881</xdr:rowOff>
    </xdr:to>
    <xdr:sp macro="" textlink="">
      <xdr:nvSpPr>
        <xdr:cNvPr id="3" name="TextBox 1" descr="Balance Sheet" title="Title 1">
          <a:extLst>
            <a:ext uri="{FF2B5EF4-FFF2-40B4-BE49-F238E27FC236}">
              <a16:creationId xmlns:a16="http://schemas.microsoft.com/office/drawing/2014/main" id="{5FEBD333-2AD9-4CE2-A0B1-5100FBD546B1}"/>
            </a:ext>
          </a:extLst>
        </xdr:cNvPr>
        <xdr:cNvSpPr txBox="1"/>
      </xdr:nvSpPr>
      <xdr:spPr>
        <a:xfrm>
          <a:off x="152400" y="1"/>
          <a:ext cx="5678805" cy="563880"/>
        </a:xfrm>
        <a:prstGeom prst="rect">
          <a:avLst/>
        </a:prstGeom>
        <a:noFill/>
        <a:ln w="63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algn="l"/>
          <a:r>
            <a:rPr lang="en-US" sz="2000">
              <a:solidFill>
                <a:schemeClr val="bg1"/>
              </a:solidFill>
              <a:latin typeface="+mj-lt"/>
            </a:rPr>
            <a:t>Assets</a:t>
          </a:r>
          <a:endParaRPr lang="en-US" sz="2000">
            <a:solidFill>
              <a:schemeClr val="tx2">
                <a:lumMod val="20000"/>
                <a:lumOff val="80000"/>
              </a:schemeClr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" name="Picture 1" descr="Abstract Image" title="Banner 1">
          <a:extLst>
            <a:ext uri="{FF2B5EF4-FFF2-40B4-BE49-F238E27FC236}">
              <a16:creationId xmlns:a16="http://schemas.microsoft.com/office/drawing/2014/main" id="{B17AEE54-0A1B-41E0-B53A-9F155DF2E2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400" y="0"/>
          <a:ext cx="6294120" cy="5715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1</xdr:rowOff>
    </xdr:from>
    <xdr:to>
      <xdr:col>3</xdr:col>
      <xdr:colOff>847725</xdr:colOff>
      <xdr:row>0</xdr:row>
      <xdr:rowOff>563881</xdr:rowOff>
    </xdr:to>
    <xdr:sp macro="" textlink="">
      <xdr:nvSpPr>
        <xdr:cNvPr id="3" name="TextBox 1" descr="Balance Sheet" title="Title 1">
          <a:extLst>
            <a:ext uri="{FF2B5EF4-FFF2-40B4-BE49-F238E27FC236}">
              <a16:creationId xmlns:a16="http://schemas.microsoft.com/office/drawing/2014/main" id="{E39FB8D0-54E5-404A-A67E-ECCE7C758A3D}"/>
            </a:ext>
          </a:extLst>
        </xdr:cNvPr>
        <xdr:cNvSpPr txBox="1"/>
      </xdr:nvSpPr>
      <xdr:spPr>
        <a:xfrm>
          <a:off x="152400" y="1"/>
          <a:ext cx="5678805" cy="563880"/>
        </a:xfrm>
        <a:prstGeom prst="rect">
          <a:avLst/>
        </a:prstGeom>
        <a:noFill/>
        <a:ln w="63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algn="l"/>
          <a:r>
            <a:rPr lang="en-US" sz="2000">
              <a:solidFill>
                <a:schemeClr val="bg1"/>
              </a:solidFill>
              <a:latin typeface="+mj-lt"/>
            </a:rPr>
            <a:t>Liabilities and Owner's Equity</a:t>
          </a:r>
          <a:endParaRPr lang="en-US" sz="2000">
            <a:solidFill>
              <a:schemeClr val="tx2">
                <a:lumMod val="20000"/>
                <a:lumOff val="80000"/>
              </a:schemeClr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CurrentAssets" displayName="Table_CurrentAssets" ref="B3:D10" totalsRowCount="1" headerRowDxfId="42" dataDxfId="41" totalsRowDxfId="40">
  <tableColumns count="3">
    <tableColumn id="1" xr3:uid="{00000000-0010-0000-0100-000001000000}" name="Current Assets" totalsRowLabel="Total Current Assets" dataDxfId="39" totalsRowDxfId="38"/>
    <tableColumn id="2" xr3:uid="{00000000-0010-0000-0100-000002000000}" name="Year 1" totalsRowFunction="sum" dataDxfId="37" totalsRowDxfId="36"/>
    <tableColumn id="3" xr3:uid="{00000000-0010-0000-0100-000003000000}" name="Year 2" totalsRowFunction="sum" dataDxfId="35" totalsRowDxfId="34"/>
  </tableColumns>
  <tableStyleInfo name="Business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FixedAssets" displayName="Table_FixedAssets" ref="B12:D17" totalsRowCount="1" totalsRowDxfId="33">
  <tableColumns count="3">
    <tableColumn id="1" xr3:uid="{00000000-0010-0000-0200-000001000000}" name="Fixed Assets" totalsRowLabel="Total Fixed Assets" dataDxfId="32" totalsRowDxfId="31"/>
    <tableColumn id="2" xr3:uid="{00000000-0010-0000-0200-000002000000}" name="Year 1" totalsRowFunction="sum" dataDxfId="30" totalsRowDxfId="29"/>
    <tableColumn id="3" xr3:uid="{00000000-0010-0000-0200-000003000000}" name="Year 2" totalsRowFunction="sum" dataDxfId="28" totalsRowDxfId="27"/>
  </tableColumns>
  <tableStyleInfo name="Business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OtherAssets" displayName="Table_OtherAssets" ref="B19:D21" totalsRowCount="1" totalsRowDxfId="26">
  <tableColumns count="3">
    <tableColumn id="1" xr3:uid="{00000000-0010-0000-0300-000001000000}" name="Other Assets" totalsRowLabel="Total Other Assets" dataDxfId="25" totalsRowDxfId="24"/>
    <tableColumn id="2" xr3:uid="{00000000-0010-0000-0300-000002000000}" name="Year 1" totalsRowFunction="sum" dataDxfId="23" totalsRowDxfId="22"/>
    <tableColumn id="3" xr3:uid="{00000000-0010-0000-0300-000003000000}" name="Year 2" totalsRowFunction="sum" dataDxfId="21" totalsRowDxfId="20"/>
  </tableColumns>
  <tableStyleInfo name="Business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e_CurrentLiabilities" displayName="Table_CurrentLiabilities" ref="B3:D10" totalsRowCount="1" totalsRowDxfId="19">
  <tableColumns count="3">
    <tableColumn id="1" xr3:uid="{00000000-0010-0000-0400-000001000000}" name="Current Liabilities" totalsRowLabel="Total Current Liabilities" dataDxfId="18" totalsRowDxfId="17"/>
    <tableColumn id="2" xr3:uid="{00000000-0010-0000-0400-000002000000}" name="Year 1" totalsRowFunction="sum" dataDxfId="16" totalsRowDxfId="15"/>
    <tableColumn id="3" xr3:uid="{00000000-0010-0000-0400-000003000000}" name="Year 2" totalsRowFunction="sum" dataDxfId="14" totalsRowDxfId="13"/>
  </tableColumns>
  <tableStyleInfo name="Business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le_LongTermLiabilities" displayName="Table_LongTermLiabilities" ref="B12:D14" totalsRowCount="1" totalsRowDxfId="12">
  <tableColumns count="3">
    <tableColumn id="1" xr3:uid="{00000000-0010-0000-0500-000001000000}" name="Long-Term Liabilities" totalsRowLabel="Total Long-Term Liabilities" dataDxfId="11" totalsRowDxfId="10"/>
    <tableColumn id="2" xr3:uid="{00000000-0010-0000-0500-000002000000}" name="Year 1" totalsRowFunction="sum" dataDxfId="9" totalsRowDxfId="8"/>
    <tableColumn id="3" xr3:uid="{00000000-0010-0000-0500-000003000000}" name="Year 2" totalsRowFunction="sum" dataDxfId="7" totalsRowDxfId="6"/>
  </tableColumns>
  <tableStyleInfo name="Business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Table_OwnersEquity" displayName="Table_OwnersEquity" ref="B16:D19" totalsRowCount="1">
  <tableColumns count="3">
    <tableColumn id="1" xr3:uid="{00000000-0010-0000-0600-000001000000}" name="Owner's Equity" totalsRowLabel="Total Owner's Equity" dataDxfId="5" totalsRowDxfId="4"/>
    <tableColumn id="2" xr3:uid="{00000000-0010-0000-0600-000002000000}" name="Year 1" totalsRowFunction="sum" dataDxfId="3" totalsRowDxfId="2"/>
    <tableColumn id="3" xr3:uid="{00000000-0010-0000-0600-000003000000}" name="Year 2" totalsRowFunction="sum" dataDxfId="1" totalsRowDxfId="0"/>
  </tableColumns>
  <tableStyleInfo name="Business Table" showFirstColumn="0" showLastColumn="0" showRowStripes="1" showColumnStripes="0"/>
</table>
</file>

<file path=xl/theme/theme1.xml><?xml version="1.0" encoding="utf-8"?>
<a:theme xmlns:a="http://schemas.openxmlformats.org/drawingml/2006/main" name="Business Templates Theme">
  <a:themeElements>
    <a:clrScheme name="BUS_Activity Based Cost Tracke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F7F5E6"/>
      </a:accent1>
      <a:accent2>
        <a:srgbClr val="333A56"/>
      </a:accent2>
      <a:accent3>
        <a:srgbClr val="52658F"/>
      </a:accent3>
      <a:accent4>
        <a:srgbClr val="E8E8E8"/>
      </a:accent4>
      <a:accent5>
        <a:srgbClr val="000000"/>
      </a:accent5>
      <a:accent6>
        <a:srgbClr val="8A8A8A"/>
      </a:accent6>
      <a:hlink>
        <a:srgbClr val="0096D2"/>
      </a:hlink>
      <a:folHlink>
        <a:srgbClr val="00578B"/>
      </a:folHlink>
    </a:clrScheme>
    <a:fontScheme name="BUS_Activity Based Cost Tracker">
      <a:majorFont>
        <a:latin typeface="Constantia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RowHeight="15" x14ac:dyDescent="0.4"/>
  <sheetData>
    <row r="1" spans="1:1" x14ac:dyDescent="0.4">
      <c r="A1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1"/>
  <sheetViews>
    <sheetView showGridLines="0" showRowColHeaders="0" workbookViewId="0"/>
  </sheetViews>
  <sheetFormatPr defaultColWidth="8.921875" defaultRowHeight="21" customHeight="1" x14ac:dyDescent="0.4"/>
  <cols>
    <col min="1" max="1" width="1.84375" style="1" customWidth="1"/>
    <col min="2" max="2" width="38.84375" style="1" customWidth="1"/>
    <col min="3" max="3" width="18.84375" style="1" customWidth="1"/>
    <col min="4" max="4" width="17.4609375" style="1" customWidth="1"/>
    <col min="5" max="9" width="1.84375" style="1" customWidth="1"/>
    <col min="10" max="16384" width="8.921875" style="1"/>
  </cols>
  <sheetData>
    <row r="1" spans="2:5" ht="45" customHeight="1" x14ac:dyDescent="0.6">
      <c r="B1" s="13"/>
      <c r="C1" s="14"/>
      <c r="D1" s="14"/>
      <c r="E1" s="1" t="s">
        <v>0</v>
      </c>
    </row>
    <row r="2" spans="2:5" ht="21" customHeight="1" x14ac:dyDescent="0.4">
      <c r="C2" s="11">
        <f>Preceding_Year</f>
        <v>0</v>
      </c>
      <c r="D2" s="11">
        <f>Current_Year</f>
        <v>0</v>
      </c>
    </row>
    <row r="3" spans="2:5" ht="21" customHeight="1" x14ac:dyDescent="0.4">
      <c r="B3" s="12" t="s">
        <v>1</v>
      </c>
      <c r="C3" s="2" t="s">
        <v>32</v>
      </c>
      <c r="D3" s="3" t="s">
        <v>33</v>
      </c>
    </row>
    <row r="4" spans="2:5" ht="21" customHeight="1" x14ac:dyDescent="0.4">
      <c r="B4" s="4" t="s">
        <v>2</v>
      </c>
      <c r="C4" s="5">
        <v>1000</v>
      </c>
      <c r="D4" s="5">
        <v>1700</v>
      </c>
    </row>
    <row r="5" spans="2:5" ht="21" customHeight="1" x14ac:dyDescent="0.4">
      <c r="B5" s="4" t="s">
        <v>3</v>
      </c>
      <c r="C5" s="5">
        <v>1500</v>
      </c>
      <c r="D5" s="5">
        <v>2550</v>
      </c>
    </row>
    <row r="6" spans="2:5" ht="21" customHeight="1" x14ac:dyDescent="0.4">
      <c r="B6" s="4" t="s">
        <v>4</v>
      </c>
      <c r="C6" s="5">
        <v>650</v>
      </c>
      <c r="D6" s="5">
        <v>1250</v>
      </c>
    </row>
    <row r="7" spans="2:5" ht="21" customHeight="1" x14ac:dyDescent="0.4">
      <c r="B7" s="4" t="s">
        <v>5</v>
      </c>
      <c r="C7" s="5">
        <v>150</v>
      </c>
      <c r="D7" s="5">
        <v>230</v>
      </c>
    </row>
    <row r="8" spans="2:5" ht="21" customHeight="1" x14ac:dyDescent="0.4">
      <c r="B8" s="4" t="s">
        <v>6</v>
      </c>
      <c r="C8" s="5">
        <v>1230</v>
      </c>
      <c r="D8" s="5">
        <v>950</v>
      </c>
    </row>
    <row r="9" spans="2:5" ht="21" customHeight="1" x14ac:dyDescent="0.4">
      <c r="B9" s="4" t="s">
        <v>7</v>
      </c>
      <c r="C9" s="5">
        <v>120</v>
      </c>
      <c r="D9" s="5">
        <v>120</v>
      </c>
    </row>
    <row r="10" spans="2:5" ht="21" customHeight="1" x14ac:dyDescent="0.4">
      <c r="B10" s="6" t="s">
        <v>8</v>
      </c>
      <c r="C10" s="7">
        <f>SUBTOTAL(109,Table_CurrentAssets[Year 1])</f>
        <v>4650</v>
      </c>
      <c r="D10" s="7">
        <f>SUBTOTAL(109,Table_CurrentAssets[Year 2])</f>
        <v>6800</v>
      </c>
    </row>
    <row r="12" spans="2:5" ht="21" customHeight="1" x14ac:dyDescent="0.4">
      <c r="B12" s="12" t="s">
        <v>9</v>
      </c>
      <c r="C12" s="2" t="s">
        <v>32</v>
      </c>
      <c r="D12" s="3" t="s">
        <v>33</v>
      </c>
    </row>
    <row r="13" spans="2:5" ht="21" customHeight="1" x14ac:dyDescent="0.4">
      <c r="B13" s="4" t="s">
        <v>10</v>
      </c>
      <c r="C13" s="5">
        <v>2500</v>
      </c>
      <c r="D13" s="5">
        <v>2500</v>
      </c>
    </row>
    <row r="14" spans="2:5" ht="21" customHeight="1" x14ac:dyDescent="0.4">
      <c r="B14" s="4" t="s">
        <v>11</v>
      </c>
      <c r="C14" s="5">
        <v>450</v>
      </c>
      <c r="D14" s="5">
        <v>350</v>
      </c>
    </row>
    <row r="15" spans="2:5" ht="21" customHeight="1" x14ac:dyDescent="0.4">
      <c r="B15" s="4" t="s">
        <v>12</v>
      </c>
      <c r="C15" s="5">
        <v>1250</v>
      </c>
      <c r="D15" s="5">
        <v>1600</v>
      </c>
    </row>
    <row r="16" spans="2:5" ht="21" customHeight="1" x14ac:dyDescent="0.4">
      <c r="B16" s="4" t="s">
        <v>13</v>
      </c>
      <c r="C16" s="5">
        <v>545</v>
      </c>
      <c r="D16" s="5">
        <v>1295</v>
      </c>
    </row>
    <row r="17" spans="2:4" ht="21" customHeight="1" x14ac:dyDescent="0.4">
      <c r="B17" s="8" t="s">
        <v>14</v>
      </c>
      <c r="C17" s="9">
        <f>SUBTOTAL(109,Table_FixedAssets[Year 1])</f>
        <v>4745</v>
      </c>
      <c r="D17" s="9">
        <f>SUBTOTAL(109,Table_FixedAssets[Year 2])</f>
        <v>5745</v>
      </c>
    </row>
    <row r="19" spans="2:4" ht="21" customHeight="1" x14ac:dyDescent="0.4">
      <c r="B19" s="12" t="s">
        <v>15</v>
      </c>
      <c r="C19" s="2" t="s">
        <v>32</v>
      </c>
      <c r="D19" s="3" t="s">
        <v>33</v>
      </c>
    </row>
    <row r="20" spans="2:4" ht="21" customHeight="1" x14ac:dyDescent="0.4">
      <c r="B20" s="4" t="s">
        <v>16</v>
      </c>
      <c r="C20" s="5">
        <v>150</v>
      </c>
      <c r="D20" s="5">
        <v>190</v>
      </c>
    </row>
    <row r="21" spans="2:4" ht="21" customHeight="1" x14ac:dyDescent="0.4">
      <c r="B21" s="8" t="s">
        <v>17</v>
      </c>
      <c r="C21" s="9">
        <f>SUBTOTAL(109,Table_OtherAssets[Year 1])</f>
        <v>150</v>
      </c>
      <c r="D21" s="9">
        <f>SUBTOTAL(109,Table_OtherAssets[Year 2])</f>
        <v>190</v>
      </c>
    </row>
  </sheetData>
  <dataValidations count="2">
    <dataValidation allowBlank="1" showInputMessage="1" showErrorMessage="1" prompt="This cell is automatically updated from the Summary tab." sqref="C2:D2" xr:uid="{00000000-0002-0000-0100-000000000000}"/>
    <dataValidation allowBlank="1" showInputMessage="1" showErrorMessage="1" prompt="Enter Current Assets, Fixed Assets, and Other Assets details in this tab" sqref="A1" xr:uid="{00000000-0002-0000-0100-000001000000}"/>
  </dataValidations>
  <printOptions horizontalCentered="1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E19"/>
  <sheetViews>
    <sheetView showGridLines="0" showRowColHeaders="0" zoomScaleNormal="100" workbookViewId="0"/>
  </sheetViews>
  <sheetFormatPr defaultColWidth="8.921875" defaultRowHeight="21" customHeight="1" x14ac:dyDescent="0.4"/>
  <cols>
    <col min="1" max="1" width="1.84375" style="1" customWidth="1"/>
    <col min="2" max="2" width="38.84375" style="1" customWidth="1"/>
    <col min="3" max="3" width="18.84375" style="1" customWidth="1"/>
    <col min="4" max="4" width="17.4609375" style="1" customWidth="1"/>
    <col min="5" max="10" width="1.84375" style="1" customWidth="1"/>
    <col min="11" max="16384" width="8.921875" style="1"/>
  </cols>
  <sheetData>
    <row r="1" spans="2:5" ht="45" customHeight="1" x14ac:dyDescent="0.6">
      <c r="B1" s="15"/>
      <c r="C1" s="16"/>
      <c r="D1" s="16"/>
      <c r="E1" s="1" t="s">
        <v>0</v>
      </c>
    </row>
    <row r="2" spans="2:5" ht="21" customHeight="1" x14ac:dyDescent="0.4">
      <c r="C2" s="10">
        <f>Preceding_Year</f>
        <v>0</v>
      </c>
      <c r="D2" s="10">
        <f>Current_Year</f>
        <v>0</v>
      </c>
    </row>
    <row r="3" spans="2:5" ht="21" customHeight="1" x14ac:dyDescent="0.4">
      <c r="B3" s="12" t="s">
        <v>18</v>
      </c>
      <c r="C3" s="2" t="s">
        <v>32</v>
      </c>
      <c r="D3" s="3" t="s">
        <v>33</v>
      </c>
    </row>
    <row r="4" spans="2:5" ht="21" customHeight="1" x14ac:dyDescent="0.4">
      <c r="B4" s="4" t="s">
        <v>19</v>
      </c>
      <c r="C4" s="5">
        <v>180</v>
      </c>
      <c r="D4" s="5">
        <v>252</v>
      </c>
    </row>
    <row r="5" spans="2:5" ht="21" customHeight="1" x14ac:dyDescent="0.4">
      <c r="B5" s="4" t="s">
        <v>20</v>
      </c>
      <c r="C5" s="5">
        <v>250</v>
      </c>
      <c r="D5" s="5">
        <v>370</v>
      </c>
    </row>
    <row r="6" spans="2:5" ht="21" customHeight="1" x14ac:dyDescent="0.4">
      <c r="B6" s="4" t="s">
        <v>21</v>
      </c>
      <c r="C6" s="5">
        <v>240</v>
      </c>
      <c r="D6" s="5">
        <v>190</v>
      </c>
    </row>
    <row r="7" spans="2:5" ht="21" customHeight="1" x14ac:dyDescent="0.4">
      <c r="B7" s="4" t="s">
        <v>22</v>
      </c>
      <c r="C7" s="5">
        <v>120</v>
      </c>
      <c r="D7" s="5">
        <v>130</v>
      </c>
    </row>
    <row r="8" spans="2:5" ht="21" customHeight="1" x14ac:dyDescent="0.4">
      <c r="B8" s="4" t="s">
        <v>23</v>
      </c>
      <c r="C8" s="5">
        <v>0</v>
      </c>
      <c r="D8" s="5">
        <v>0</v>
      </c>
    </row>
    <row r="9" spans="2:5" ht="21" customHeight="1" x14ac:dyDescent="0.4">
      <c r="B9" s="4" t="s">
        <v>7</v>
      </c>
      <c r="C9" s="5">
        <v>250</v>
      </c>
      <c r="D9" s="5">
        <v>235</v>
      </c>
    </row>
    <row r="10" spans="2:5" ht="21" customHeight="1" x14ac:dyDescent="0.4">
      <c r="B10" s="8" t="s">
        <v>24</v>
      </c>
      <c r="C10" s="9">
        <f>SUBTOTAL(109,Table_CurrentLiabilities[Year 1])</f>
        <v>1040</v>
      </c>
      <c r="D10" s="9">
        <f>SUBTOTAL(109,Table_CurrentLiabilities[Year 2])</f>
        <v>1177</v>
      </c>
    </row>
    <row r="12" spans="2:5" ht="21" customHeight="1" x14ac:dyDescent="0.4">
      <c r="B12" s="12" t="s">
        <v>25</v>
      </c>
      <c r="C12" s="2" t="s">
        <v>32</v>
      </c>
      <c r="D12" s="3" t="s">
        <v>33</v>
      </c>
    </row>
    <row r="13" spans="2:5" ht="21" customHeight="1" x14ac:dyDescent="0.4">
      <c r="B13" s="4" t="s">
        <v>26</v>
      </c>
      <c r="C13" s="5">
        <v>1500</v>
      </c>
      <c r="D13" s="5">
        <v>1900</v>
      </c>
    </row>
    <row r="14" spans="2:5" ht="21" customHeight="1" x14ac:dyDescent="0.4">
      <c r="B14" s="8" t="s">
        <v>27</v>
      </c>
      <c r="C14" s="9">
        <f>SUBTOTAL(109,Table_LongTermLiabilities[Year 1])</f>
        <v>1500</v>
      </c>
      <c r="D14" s="9">
        <f>SUBTOTAL(109,Table_LongTermLiabilities[Year 2])</f>
        <v>1900</v>
      </c>
    </row>
    <row r="16" spans="2:5" ht="21" customHeight="1" x14ac:dyDescent="0.4">
      <c r="B16" s="12" t="s">
        <v>28</v>
      </c>
      <c r="C16" s="2" t="s">
        <v>32</v>
      </c>
      <c r="D16" s="3" t="s">
        <v>33</v>
      </c>
    </row>
    <row r="17" spans="2:4" ht="21" customHeight="1" x14ac:dyDescent="0.4">
      <c r="B17" s="4" t="s">
        <v>29</v>
      </c>
      <c r="C17" s="5">
        <v>5500</v>
      </c>
      <c r="D17" s="5">
        <v>2500</v>
      </c>
    </row>
    <row r="18" spans="2:4" ht="21" customHeight="1" x14ac:dyDescent="0.4">
      <c r="B18" s="4" t="s">
        <v>30</v>
      </c>
      <c r="C18" s="5">
        <v>500</v>
      </c>
      <c r="D18" s="5">
        <v>650</v>
      </c>
    </row>
    <row r="19" spans="2:4" ht="21" customHeight="1" x14ac:dyDescent="0.4">
      <c r="B19" s="8" t="s">
        <v>31</v>
      </c>
      <c r="C19" s="9">
        <f>SUBTOTAL(109,Table_OwnersEquity[Year 1])</f>
        <v>6000</v>
      </c>
      <c r="D19" s="9">
        <f>SUBTOTAL(109,Table_OwnersEquity[Year 2])</f>
        <v>3150</v>
      </c>
    </row>
  </sheetData>
  <dataValidations count="2">
    <dataValidation allowBlank="1" showInputMessage="1" showErrorMessage="1" prompt="This cell is automatically updated from the Summary tab." sqref="C2:D2" xr:uid="{00000000-0002-0000-0200-000000000000}"/>
    <dataValidation allowBlank="1" showInputMessage="1" showErrorMessage="1" prompt="Enter Current Liabilities, Long-Term Liabilities, and Owner's Equity details in this tab" sqref="A1" xr:uid="{00000000-0002-0000-0200-000001000000}"/>
  </dataValidations>
  <printOptions horizontalCentered="1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2" ma:contentTypeDescription="Create a new document." ma:contentTypeScope="" ma:versionID="cf6cf056b5324d160236e2ac13572175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308e4927137fd5e63b6be1bd7725299e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48C893-941E-4E59-871D-C8899FD1A6B4}">
  <ds:schemaRefs>
    <ds:schemaRef ds:uri="http://www.w3.org/XML/1998/namespace"/>
    <ds:schemaRef ds:uri="http://purl.org/dc/terms/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fb0879af-3eba-417a-a55a-ffe6dcd6ca77"/>
    <ds:schemaRef ds:uri="http://schemas.openxmlformats.org/package/2006/metadata/core-properties"/>
    <ds:schemaRef ds:uri="6dc4bcd6-49db-4c07-9060-8acfc67cef9f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37A54519-C6C5-46DC-9915-93CBE519EC6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F4DDB1-758E-4141-9C96-BD2A23C76E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Summary</vt:lpstr>
      <vt:lpstr>Assets</vt:lpstr>
      <vt:lpstr>Liabilities and Owner's Equity</vt:lpstr>
      <vt:lpstr>Current_Year</vt:lpstr>
      <vt:lpstr>Preceding_Year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2018-08-24T15:21:48Z</dcterms:created>
  <dcterms:modified xsi:type="dcterms:W3CDTF">2019-01-03T15:13:40Z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